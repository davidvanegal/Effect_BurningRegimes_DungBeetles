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pers\FireDungBeetles\Effect_BurningRegimes_DungBeetles\Burning Regime\"/>
    </mc:Choice>
  </mc:AlternateContent>
  <xr:revisionPtr revIDLastSave="0" documentId="13_ncr:1_{E5943BF9-366F-44A0-B959-57476C3C83FC}" xr6:coauthVersionLast="47" xr6:coauthVersionMax="47" xr10:uidLastSave="{00000000-0000-0000-0000-000000000000}"/>
  <bookViews>
    <workbookView xWindow="-108" yWindow="-108" windowWidth="23256" windowHeight="13176" xr2:uid="{B774AA3A-FF2C-40A6-A1D2-AB0B3A168CAC}"/>
  </bookViews>
  <sheets>
    <sheet name="BurningReg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L2" i="1" l="1"/>
  <c r="L4" i="1"/>
  <c r="L3" i="1"/>
  <c r="I3" i="1"/>
  <c r="I2" i="1"/>
  <c r="M2" i="1" l="1" a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<sst xmlns="http://schemas.openxmlformats.org/spreadsheetml/2006/main" count="26" uniqueCount="26">
  <si>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>ID</t>
  </si>
  <si>
    <t>Total</t>
  </si>
  <si>
    <t>s3.2</t>
  </si>
  <si>
    <t>s1.3</t>
  </si>
  <si>
    <t>s3.1</t>
  </si>
  <si>
    <t>s4.1</t>
  </si>
  <si>
    <t>s4.4</t>
  </si>
  <si>
    <t>s3</t>
  </si>
  <si>
    <t>s8</t>
  </si>
  <si>
    <t>JTCP1</t>
  </si>
  <si>
    <t>Min</t>
  </si>
  <si>
    <t>Max</t>
  </si>
  <si>
    <t>Categoría</t>
  </si>
  <si>
    <t>Perc</t>
  </si>
  <si>
    <t>Value</t>
  </si>
  <si>
    <t>Frec</t>
  </si>
  <si>
    <t>Null</t>
  </si>
  <si>
    <t>Low</t>
  </si>
  <si>
    <t>High</t>
  </si>
  <si>
    <t>Frecuency</t>
  </si>
  <si>
    <t>Intensity</t>
  </si>
  <si>
    <t>Magnitude</t>
  </si>
  <si>
    <t>Secondary forest</t>
  </si>
  <si>
    <t>Diverse grassland</t>
  </si>
  <si>
    <t>Monoculture grassland</t>
  </si>
  <si>
    <t>CoverVeg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</si>
</sst>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0" borderId="6" xfId="0" applyFont="1" applyBorder="1"/>
    <xf numFmtId="0" fontId="0" fillId="0" borderId="5" xfId="0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7" xfId="0" applyFont="1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7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404D-B862-4CEA-A61D-018700481C5C}">
  <dimension ref="A1:M16"/>
  <sheetViews>
    <sheetView tabSelected="1" workbookViewId="0">
      <selection activeCell="L19" sqref="L19"/>
    </sheetView>
  </sheetViews>
  <sheetFormatPr defaultRowHeight="15.6" x14ac:dyDescent="0.3"/>
  <cols>
    <col min="1" max="1" width="9.796875" customWidth="1"/>
    <col min="2" max="2" width="7.19921875" customWidth="1"/>
    <col min="3" max="3" width="10.09765625" bestFit="1" customWidth="1"/>
    <col min="4" max="4" width="9.59765625" bestFit="1" customWidth="1"/>
    <col min="5" max="5" width="9.8984375" bestFit="1" customWidth="1"/>
    <col min="7" max="7" width="1.19921875" customWidth="1"/>
    <col min="8" max="8" width="4.796875" customWidth="1"/>
    <col min="9" max="9" width="5.796875" style="4" bestFit="1" customWidth="1"/>
    <col min="10" max="10" width="1.19921875" customWidth="1"/>
    <col min="11" max="11" width="10.09765625" bestFit="1" customWidth="1"/>
  </cols>
  <sheetData>
    <row r="1" spans="1:13" x14ac:dyDescent="0.3">
      <c r="A1" s="21" t="s">
        <v>25</v>
      </c>
      <c r="B1" s="12" t="s">
        <v>0</v>
      </c>
      <c r="C1" s="8" t="s">
        <v>19</v>
      </c>
      <c r="D1" s="8" t="s">
        <v>20</v>
      </c>
      <c r="E1" s="8" t="s">
        <v>21</v>
      </c>
      <c r="F1" s="9" t="s">
        <v>1</v>
      </c>
      <c r="I1" s="11" t="s">
        <v>14</v>
      </c>
      <c r="K1" s="21" t="s">
        <v>12</v>
      </c>
      <c r="L1" s="25" t="s">
        <v>13</v>
      </c>
      <c r="M1" s="26" t="s">
        <v>15</v>
      </c>
    </row>
    <row r="2" spans="1:13" ht="15.6" customHeight="1" x14ac:dyDescent="0.3">
      <c r="A2" s="30" t="s">
        <v>24</v>
      </c>
      <c r="B2" s="13">
        <v>2</v>
      </c>
      <c r="C2" s="2">
        <v>3</v>
      </c>
      <c r="D2" s="2">
        <v>1</v>
      </c>
      <c r="E2" s="2">
        <v>3</v>
      </c>
      <c r="F2" s="3">
        <f t="shared" ref="F2:F16" si="0">SUM(C2:E2)</f>
        <v>7</v>
      </c>
      <c r="G2" s="4"/>
      <c r="H2" t="s">
        <v>10</v>
      </c>
      <c r="I2" s="4">
        <f>MIN(F2:F16)</f>
        <v>0</v>
      </c>
      <c r="K2" s="27" t="s">
        <v>16</v>
      </c>
      <c r="L2" s="28">
        <f>_xlfn.PERCENTILE.INC(F2:F16, 0.33333)</f>
        <v>3.3331</v>
      </c>
      <c r="M2" s="3" cm="1">
        <f t="array" ref="M2:M5">FREQUENCY(F2:F16,L2:L4)</f>
        <v>5</v>
      </c>
    </row>
    <row r="3" spans="1:13" x14ac:dyDescent="0.3">
      <c r="A3" s="31"/>
      <c r="B3" s="14">
        <v>6</v>
      </c>
      <c r="C3" s="4">
        <v>3</v>
      </c>
      <c r="D3" s="4">
        <v>2</v>
      </c>
      <c r="E3" s="4">
        <v>3</v>
      </c>
      <c r="F3" s="5">
        <f t="shared" si="0"/>
        <v>8</v>
      </c>
      <c r="G3" s="4"/>
      <c r="H3" t="s">
        <v>11</v>
      </c>
      <c r="I3" s="4">
        <f>MAX(F2:F16)</f>
        <v>8</v>
      </c>
      <c r="K3" s="23" t="s">
        <v>17</v>
      </c>
      <c r="L3" s="29">
        <f>_xlfn.PERCENTILE.INC(F2:F16, 0.66666)</f>
        <v>6.33324</v>
      </c>
      <c r="M3" s="5">
        <v>5</v>
      </c>
    </row>
    <row r="4" spans="1:13" x14ac:dyDescent="0.3">
      <c r="A4" s="31"/>
      <c r="B4" s="14">
        <v>14</v>
      </c>
      <c r="C4" s="4">
        <v>3</v>
      </c>
      <c r="D4" s="4">
        <v>1</v>
      </c>
      <c r="E4" s="4">
        <v>1</v>
      </c>
      <c r="F4" s="5">
        <f t="shared" si="0"/>
        <v>5</v>
      </c>
      <c r="G4" s="4"/>
      <c r="K4" s="24" t="s">
        <v>18</v>
      </c>
      <c r="L4" s="6">
        <f>_xlfn.PERCENTILE.INC(F2:F16, 1)</f>
        <v>8</v>
      </c>
      <c r="M4" s="22">
        <v>5</v>
      </c>
    </row>
    <row r="5" spans="1:13" x14ac:dyDescent="0.3">
      <c r="A5" s="31"/>
      <c r="B5" s="14" t="s">
        <v>2</v>
      </c>
      <c r="C5" s="4">
        <v>2</v>
      </c>
      <c r="D5" s="4">
        <v>1</v>
      </c>
      <c r="E5" s="4">
        <v>3</v>
      </c>
      <c r="F5" s="5">
        <f t="shared" si="0"/>
        <v>6</v>
      </c>
      <c r="G5" s="4"/>
      <c r="L5" s="4"/>
      <c r="M5" s="4">
        <v>0</v>
      </c>
    </row>
    <row r="6" spans="1:13" x14ac:dyDescent="0.3">
      <c r="A6" s="32"/>
      <c r="B6" s="15" t="s">
        <v>9</v>
      </c>
      <c r="C6" s="6">
        <v>0</v>
      </c>
      <c r="D6" s="6">
        <v>0</v>
      </c>
      <c r="E6" s="6">
        <v>0</v>
      </c>
      <c r="F6" s="7">
        <f t="shared" si="0"/>
        <v>0</v>
      </c>
      <c r="G6" s="4"/>
      <c r="H6" s="1"/>
    </row>
    <row r="7" spans="1:13" x14ac:dyDescent="0.3">
      <c r="A7" s="30" t="s">
        <v>23</v>
      </c>
      <c r="B7" s="16">
        <v>9</v>
      </c>
      <c r="C7" s="2">
        <v>3</v>
      </c>
      <c r="D7" s="2">
        <v>2</v>
      </c>
      <c r="E7" s="2">
        <v>3</v>
      </c>
      <c r="F7" s="3">
        <f t="shared" si="0"/>
        <v>8</v>
      </c>
      <c r="G7" s="4"/>
    </row>
    <row r="8" spans="1:13" x14ac:dyDescent="0.3">
      <c r="A8" s="31"/>
      <c r="B8" s="17">
        <v>18</v>
      </c>
      <c r="C8" s="4">
        <v>1</v>
      </c>
      <c r="D8" s="4">
        <v>1</v>
      </c>
      <c r="E8" s="4">
        <v>3</v>
      </c>
      <c r="F8" s="5">
        <f t="shared" si="0"/>
        <v>5</v>
      </c>
      <c r="G8" s="4"/>
    </row>
    <row r="9" spans="1:13" x14ac:dyDescent="0.3">
      <c r="A9" s="31"/>
      <c r="B9" s="17" t="s">
        <v>3</v>
      </c>
      <c r="C9" s="4">
        <v>3</v>
      </c>
      <c r="D9" s="4">
        <v>1</v>
      </c>
      <c r="E9" s="4">
        <v>3</v>
      </c>
      <c r="F9" s="5">
        <f t="shared" si="0"/>
        <v>7</v>
      </c>
      <c r="G9" s="4"/>
    </row>
    <row r="10" spans="1:13" x14ac:dyDescent="0.3">
      <c r="A10" s="31"/>
      <c r="B10" s="17" t="s">
        <v>4</v>
      </c>
      <c r="C10" s="4">
        <v>3</v>
      </c>
      <c r="D10" s="4">
        <v>1</v>
      </c>
      <c r="E10" s="4">
        <v>3</v>
      </c>
      <c r="F10" s="5">
        <f t="shared" si="0"/>
        <v>7</v>
      </c>
      <c r="G10" s="4"/>
    </row>
    <row r="11" spans="1:13" x14ac:dyDescent="0.3">
      <c r="A11" s="32"/>
      <c r="B11" s="18" t="s">
        <v>6</v>
      </c>
      <c r="C11" s="6">
        <v>0</v>
      </c>
      <c r="D11" s="6">
        <v>0</v>
      </c>
      <c r="E11" s="6">
        <v>0</v>
      </c>
      <c r="F11" s="7">
        <f t="shared" si="0"/>
        <v>0</v>
      </c>
      <c r="G11" s="4"/>
    </row>
    <row r="12" spans="1:13" x14ac:dyDescent="0.3">
      <c r="A12" s="30" t="s">
        <v>22</v>
      </c>
      <c r="B12" s="19" t="s">
        <v>5</v>
      </c>
      <c r="C12" s="4">
        <v>0</v>
      </c>
      <c r="D12" s="4">
        <v>0</v>
      </c>
      <c r="E12" s="4">
        <v>0</v>
      </c>
      <c r="F12" s="10">
        <f t="shared" si="0"/>
        <v>0</v>
      </c>
      <c r="G12" s="4"/>
    </row>
    <row r="13" spans="1:13" x14ac:dyDescent="0.3">
      <c r="A13" s="31"/>
      <c r="B13" s="19" t="s">
        <v>7</v>
      </c>
      <c r="C13" s="4">
        <v>0</v>
      </c>
      <c r="D13" s="4">
        <v>0</v>
      </c>
      <c r="E13" s="4">
        <v>0</v>
      </c>
      <c r="F13" s="10">
        <f t="shared" si="0"/>
        <v>0</v>
      </c>
      <c r="G13" s="4"/>
    </row>
    <row r="14" spans="1:13" x14ac:dyDescent="0.3">
      <c r="A14" s="31"/>
      <c r="B14" s="19">
        <v>3</v>
      </c>
      <c r="C14" s="4">
        <v>2</v>
      </c>
      <c r="D14" s="4">
        <v>1</v>
      </c>
      <c r="E14" s="4">
        <v>2</v>
      </c>
      <c r="F14" s="5">
        <f t="shared" si="0"/>
        <v>5</v>
      </c>
      <c r="G14" s="4"/>
    </row>
    <row r="15" spans="1:13" x14ac:dyDescent="0.3">
      <c r="A15" s="31"/>
      <c r="B15" s="19">
        <v>13</v>
      </c>
      <c r="C15" s="4">
        <v>1</v>
      </c>
      <c r="D15" s="4">
        <v>1</v>
      </c>
      <c r="E15" s="4">
        <v>3</v>
      </c>
      <c r="F15" s="5">
        <f t="shared" si="0"/>
        <v>5</v>
      </c>
      <c r="G15" s="4"/>
    </row>
    <row r="16" spans="1:13" x14ac:dyDescent="0.3">
      <c r="A16" s="32"/>
      <c r="B16" s="20" t="s">
        <v>8</v>
      </c>
      <c r="C16" s="6">
        <v>0</v>
      </c>
      <c r="D16" s="6">
        <v>0</v>
      </c>
      <c r="E16" s="6">
        <v>0</v>
      </c>
      <c r="F16" s="7">
        <f t="shared" si="0"/>
        <v>0</v>
      </c>
      <c r="G16" s="4"/>
    </row>
  </sheetData>
  <mergeCells count="3">
    <mergeCell ref="A2:A6"/>
    <mergeCell ref="A7:A11"/>
    <mergeCell ref="A12:A16"/>
  </mergeCells>
  <conditionalFormatting sqref="F2:F16">
    <cfRule type="cellIs" dxfId="2" priority="1" operator="equal">
      <formula>0</formula>
    </cfRule>
  </conditionalFormatting>
  <conditionalFormatting sqref="I1 F1:F16 G2:G16 I6:I7">
    <cfRule type="cellIs" dxfId="1" priority="2" operator="between">
      <formula>3.333</formula>
      <formula>6.333</formula>
    </cfRule>
    <cfRule type="cellIs" dxfId="0" priority="3" operator="between">
      <formula>6.333</formula>
      <formula>9</formula>
    </cfRule>
  </conditionalFormatting>
  <pageMargins left="0.7" right="0.7" top="0.75" bottom="0.75" header="0.3" footer="0.3"/>
  <pageSetup orientation="portrait" r:id="rId1"/>
  <ignoredErrors>
    <ignoredError sqref="F2:F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BurningRegime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Andrés Vanegas Alarcón</dc:creator>
  <cp:lastModifiedBy>David Vanegas-Alarcón</cp:lastModifiedBy>
  <dcterms:created xsi:type="dcterms:W3CDTF">2024-10-07T16:08:20Z</dcterms:created>
  <dcterms:modified xsi:type="dcterms:W3CDTF">2025-12-13T22:31:52Z</dcterms:modified>
</cp:coreProperties>
</file>